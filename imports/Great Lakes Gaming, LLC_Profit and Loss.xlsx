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6" i="1" l="1"/>
</calcChain>
</file>

<file path=xl/sharedStrings.xml><?xml version="1.0" encoding="utf-8"?>
<sst xmlns="http://schemas.openxmlformats.org/spreadsheetml/2006/main" count="103" uniqueCount="103">
  <si>
    <t>Great Lakes Gaming, LLC</t>
  </si>
  <si>
    <t>Profit and Loss</t>
  </si>
  <si>
    <t>January 1-June 9, 2026</t>
  </si>
  <si>
    <t>Income</t>
  </si>
  <si>
    <t>Membership Sales</t>
  </si>
  <si>
    <t>Sales</t>
  </si>
  <si>
    <t>Event Services</t>
  </si>
  <si>
    <t>Kids Party</t>
  </si>
  <si>
    <t>Spring Camp</t>
  </si>
  <si>
    <t>Total for Event Services</t>
  </si>
  <si>
    <t>Sales of Product Income</t>
  </si>
  <si>
    <t>Ticket Sales</t>
  </si>
  <si>
    <t>Total for Sales</t>
  </si>
  <si>
    <t>Total for Income</t>
  </si>
  <si>
    <t>Cost of Goods Sold</t>
  </si>
  <si>
    <t>Cost of goods sold</t>
  </si>
  <si>
    <t>Event Programming</t>
  </si>
  <si>
    <t>Food &amp; beverage</t>
  </si>
  <si>
    <t>Summer Camp Food</t>
  </si>
  <si>
    <t>Supplies &amp; Materials</t>
  </si>
  <si>
    <t>Total for Cost of goods sold</t>
  </si>
  <si>
    <t>Total for Cost of Goods Sold</t>
  </si>
  <si>
    <t>Gross Profit</t>
  </si>
  <si>
    <t>Expenses</t>
  </si>
  <si>
    <t>Advertising &amp; marketing</t>
  </si>
  <si>
    <t>Marketing Expense</t>
  </si>
  <si>
    <t>Website ads</t>
  </si>
  <si>
    <t>Total for Advertising &amp; marketing</t>
  </si>
  <si>
    <t>Ask My Accountant</t>
  </si>
  <si>
    <t>Contributions to charities</t>
  </si>
  <si>
    <t>Facilities Expense</t>
  </si>
  <si>
    <t>Building &amp; property rent</t>
  </si>
  <si>
    <t>Parking</t>
  </si>
  <si>
    <t>Repairs &amp; maintenance</t>
  </si>
  <si>
    <t>Utilities</t>
  </si>
  <si>
    <t>Internet &amp; TV services</t>
  </si>
  <si>
    <t>Laundry Service</t>
  </si>
  <si>
    <t>Total for Utilities</t>
  </si>
  <si>
    <t>Total for Facilities Expense</t>
  </si>
  <si>
    <t>General business expenses</t>
  </si>
  <si>
    <t>Bank fees &amp; service charges</t>
  </si>
  <si>
    <t>Custom software or app</t>
  </si>
  <si>
    <t>Memberships &amp; subscriptions</t>
  </si>
  <si>
    <t>Total for General business expenses</t>
  </si>
  <si>
    <t>Insurance</t>
  </si>
  <si>
    <t>Liability insurance</t>
  </si>
  <si>
    <t>Total for Insurance</t>
  </si>
  <si>
    <t>Interest paid</t>
  </si>
  <si>
    <t>Credit card interest</t>
  </si>
  <si>
    <t>Total for Interest paid</t>
  </si>
  <si>
    <t>Legal &amp; accounting services</t>
  </si>
  <si>
    <t>Accounting fees</t>
  </si>
  <si>
    <t>Total for Legal &amp; accounting services</t>
  </si>
  <si>
    <t>Meals</t>
  </si>
  <si>
    <t>Meals &amp; Entertainment</t>
  </si>
  <si>
    <t>Total for Meals</t>
  </si>
  <si>
    <t>Office expenses</t>
  </si>
  <si>
    <t>Computer Software</t>
  </si>
  <si>
    <t>Merchant account fees</t>
  </si>
  <si>
    <t>Office supplies</t>
  </si>
  <si>
    <t>Shipping &amp; postage</t>
  </si>
  <si>
    <t>Software &amp; apps</t>
  </si>
  <si>
    <t>Total for Office expenses</t>
  </si>
  <si>
    <t>Payroll expenses</t>
  </si>
  <si>
    <t>Employee Wages</t>
  </si>
  <si>
    <t>Staff Wages</t>
  </si>
  <si>
    <t>Total for Employee Wages</t>
  </si>
  <si>
    <t>Employer Taxes</t>
  </si>
  <si>
    <t>FICA Expense</t>
  </si>
  <si>
    <t>Futa</t>
  </si>
  <si>
    <t>NY PFL</t>
  </si>
  <si>
    <t>NY RS</t>
  </si>
  <si>
    <t>NY SUI</t>
  </si>
  <si>
    <t>NYS Disability</t>
  </si>
  <si>
    <t>Total for Employer Taxes</t>
  </si>
  <si>
    <t>Payroll Processing Fees</t>
  </si>
  <si>
    <t>Total for Payroll expenses</t>
  </si>
  <si>
    <t>QuickBooks Payments Fees</t>
  </si>
  <si>
    <t>Total for Expenses</t>
  </si>
  <si>
    <t>Net Operating Income</t>
  </si>
  <si>
    <t>Other Income</t>
  </si>
  <si>
    <t>Other income</t>
  </si>
  <si>
    <t>Credit card rewards</t>
  </si>
  <si>
    <t>Interest earned</t>
  </si>
  <si>
    <t>Total for Other income</t>
  </si>
  <si>
    <t>Total for Other Income</t>
  </si>
  <si>
    <t>Other Expenses</t>
  </si>
  <si>
    <t>Taxes paid</t>
  </si>
  <si>
    <t>Vehicle expenses</t>
  </si>
  <si>
    <t>Vehicle gas &amp; fuel</t>
  </si>
  <si>
    <t>Total for Vehicle expenses</t>
  </si>
  <si>
    <t>Total for Other Expenses</t>
  </si>
  <si>
    <t>Net Other Income</t>
  </si>
  <si>
    <t>Net Income</t>
  </si>
  <si>
    <t/>
  </si>
  <si>
    <t>Jan 2026</t>
  </si>
  <si>
    <t>Feb 2026</t>
  </si>
  <si>
    <t>Mar 2026</t>
  </si>
  <si>
    <t>Apr 2026</t>
  </si>
  <si>
    <t>May 2026</t>
  </si>
  <si>
    <t>Jun 1-9 2026</t>
  </si>
  <si>
    <t>Total</t>
  </si>
  <si>
    <t>Cash Basis Tuesday, June 09, 2026 04:13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</si>
</sst>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00"/>
  <sheetViews>
    <sheetView tabSelected="1" workbookViewId="0" topLeftCell="A1"/>
  </sheetViews>
  <sheetFormatPr defaultColWidth="11.255" defaultRowHeight="16"/>
  <cols>
    <col min="1" max="1" width="32.375" style="43" customWidth="1"/>
    <col min="2" max="2" width="16.125" style="43" customWidth="1"/>
    <col min="3" max="3" width="17" style="43" customWidth="1"/>
    <col min="4" max="5" width="16.125" style="43" customWidth="1"/>
    <col min="6" max="6" width="17" style="43" customWidth="1"/>
    <col min="7" max="7" width="16.125" style="43" customWidth="1"/>
    <col min="8" max="8" width="17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8" ht="16">
      <c r="A5" s="45" t="s">
        <v>94</v>
      </c>
      <c r="B5" s="50" t="s">
        <v>95</v>
      </c>
      <c r="C5" s="50" t="s">
        <v>96</v>
      </c>
      <c r="D5" s="50" t="s">
        <v>97</v>
      </c>
      <c r="E5" s="50" t="s">
        <v>98</v>
      </c>
      <c r="F5" s="50" t="s">
        <v>99</v>
      </c>
      <c r="G5" s="50" t="s">
        <v>100</v>
      </c>
      <c r="H5" s="50" t="s">
        <v>101</v>
      </c>
    </row>
    <row r="6" spans="1:7" ht="16">
      <c r="A6" s="36" t="s">
        <v>3</v>
      </c>
      <c r="B6" s="46"/>
      <c r="C6" s="46"/>
      <c r="D6" s="46"/>
      <c r="E6" s="46"/>
      <c r="F6" s="46"/>
      <c r="G6" s="46"/>
    </row>
    <row r="7" spans="1:8" ht="16">
      <c r="A7" s="37" t="s">
        <v>4</v>
      </c>
      <c r="B7" s="46"/>
      <c r="C7" s="46"/>
      <c r="D7" s="46"/>
      <c r="E7" s="46"/>
      <c r="F7" s="47">
        <v>54.0</v>
      </c>
      <c r="G7" s="46"/>
      <c r="H7" s="47">
        <f>B7+C7+D7+E7+F7+G7</f>
        <v>54.0</v>
      </c>
    </row>
    <row r="8" spans="1:8" ht="16">
      <c r="A8" s="37" t="s">
        <v>5</v>
      </c>
      <c r="B8" s="47">
        <v>7002.16</v>
      </c>
      <c r="C8" s="47">
        <v>7458.0</v>
      </c>
      <c r="D8" s="47">
        <v>11734.21</v>
      </c>
      <c r="E8" s="47">
        <v>9932.0</v>
      </c>
      <c r="F8" s="47">
        <v>16186.46</v>
      </c>
      <c r="G8" s="47">
        <v>5108.0</v>
      </c>
      <c r="H8" s="47">
        <f>B8+C8+D8+E8+F8+G8</f>
        <v>57420.829999999994</v>
      </c>
    </row>
    <row r="9" spans="1:8" ht="16">
      <c r="A9" s="38" t="s">
        <v>6</v>
      </c>
      <c r="B9" s="47">
        <v>5504.96</v>
      </c>
      <c r="C9" s="47">
        <v>7190.0</v>
      </c>
      <c r="D9" s="47">
        <v>290.0</v>
      </c>
      <c r="E9" s="47">
        <v>1980.0</v>
      </c>
      <c r="F9" s="47">
        <v>145.0</v>
      </c>
      <c r="G9" s="46"/>
      <c r="H9" s="47">
        <f>B9+C9+D9+E9+F9+G9</f>
        <v>15109.96</v>
      </c>
    </row>
    <row r="10" spans="1:8" ht="16">
      <c r="A10" s="39" t="s">
        <v>7</v>
      </c>
      <c r="B10" s="46"/>
      <c r="C10" s="46"/>
      <c r="D10" s="47">
        <v>700.0</v>
      </c>
      <c r="E10" s="46"/>
      <c r="F10" s="46"/>
      <c r="G10" s="46"/>
      <c r="H10" s="47">
        <f>B10+C10+D10+E10+F10+G10</f>
        <v>700.0</v>
      </c>
    </row>
    <row r="11" spans="1:8" ht="16">
      <c r="A11" s="39" t="s">
        <v>8</v>
      </c>
      <c r="B11" s="46"/>
      <c r="C11" s="47">
        <v>1189.65</v>
      </c>
      <c r="D11" s="46"/>
      <c r="E11" s="46"/>
      <c r="F11" s="46"/>
      <c r="G11" s="46"/>
      <c r="H11" s="47">
        <f>B11+C11+D11+E11+F11+G11</f>
        <v>1189.65</v>
      </c>
    </row>
    <row r="12" spans="1:8" ht="16">
      <c r="A12" s="40" t="s">
        <v>9</v>
      </c>
      <c r="B12" s="48">
        <f>B9+B10+B11</f>
        <v>5504.96</v>
      </c>
      <c r="C12" s="48">
        <f>C9+C10+C11</f>
        <v>8379.65</v>
      </c>
      <c r="D12" s="48">
        <f>D9+D10+D11</f>
        <v>990.0</v>
      </c>
      <c r="E12" s="48">
        <f>E9+E10+E11</f>
        <v>1980.0</v>
      </c>
      <c r="F12" s="48">
        <f>F9+F10+F11</f>
        <v>145.0</v>
      </c>
      <c r="G12" s="49">
        <f>G9+G10+G11</f>
        <v>0.0</v>
      </c>
      <c r="H12" s="49">
        <f>B12+C12+D12+E12+F12+G12</f>
        <v>16999.61</v>
      </c>
    </row>
    <row r="13" spans="1:8" ht="16">
      <c r="A13" s="38" t="s">
        <v>10</v>
      </c>
      <c r="B13" s="47">
        <v>14920.82</v>
      </c>
      <c r="C13" s="47">
        <v>17058.56</v>
      </c>
      <c r="D13" s="47">
        <v>28776.91</v>
      </c>
      <c r="E13" s="47">
        <v>35954.23</v>
      </c>
      <c r="F13" s="47">
        <v>21405.16</v>
      </c>
      <c r="G13" s="46"/>
      <c r="H13" s="47">
        <f>B13+C13+D13+E13+F13+G13</f>
        <v>118115.68000000001</v>
      </c>
    </row>
    <row r="14" spans="1:8" ht="16">
      <c r="A14" s="38" t="s">
        <v>11</v>
      </c>
      <c r="B14" s="47">
        <v>202.3</v>
      </c>
      <c r="C14" s="47">
        <v>270.49</v>
      </c>
      <c r="D14" s="47">
        <v>464.7</v>
      </c>
      <c r="E14" s="47">
        <v>650.24</v>
      </c>
      <c r="F14" s="47">
        <v>243.04</v>
      </c>
      <c r="G14" s="46"/>
      <c r="H14" s="47">
        <f>B14+C14+D14+E14+F14+G14</f>
        <v>1830.77</v>
      </c>
    </row>
    <row r="15" spans="1:8" ht="16">
      <c r="A15" s="41" t="s">
        <v>12</v>
      </c>
      <c r="B15" s="48">
        <f>B8+B12+B13+B14</f>
        <v>27630.239999999998</v>
      </c>
      <c r="C15" s="48">
        <f>C8+C12+C13+C14</f>
        <v>33166.7</v>
      </c>
      <c r="D15" s="48">
        <f>D8+D12+D13+D14</f>
        <v>41965.81999999999</v>
      </c>
      <c r="E15" s="48">
        <f>E8+E12+E13+E14</f>
        <v>48516.47</v>
      </c>
      <c r="F15" s="48">
        <f>F8+F12+F13+F14</f>
        <v>37979.659999999996</v>
      </c>
      <c r="G15" s="48">
        <f>G8+G12+G13+G14</f>
        <v>5108.0</v>
      </c>
      <c r="H15" s="49">
        <f>B15+C15+D15+E15+F15+G15</f>
        <v>194366.88999999998</v>
      </c>
    </row>
    <row r="16" spans="1:8" ht="16">
      <c r="A16" s="42" t="s">
        <v>13</v>
      </c>
      <c r="B16" s="48">
        <f>B6+B7+B15</f>
        <v>27630.239999999998</v>
      </c>
      <c r="C16" s="48">
        <f>C6+C7+C15</f>
        <v>33166.7</v>
      </c>
      <c r="D16" s="48">
        <f>D6+D7+D15</f>
        <v>41965.81999999999</v>
      </c>
      <c r="E16" s="48">
        <f>E6+E7+E15</f>
        <v>48516.47</v>
      </c>
      <c r="F16" s="48">
        <f>F6+F7+F15</f>
        <v>38033.659999999996</v>
      </c>
      <c r="G16" s="48">
        <f>G6+G7+G15</f>
        <v>5108.0</v>
      </c>
      <c r="H16" s="49">
        <f>B16+C16+D16+E16+F16+G16</f>
        <v>194420.88999999998</v>
      </c>
    </row>
    <row r="17" spans="1:7" ht="16">
      <c r="A17" s="36" t="s">
        <v>14</v>
      </c>
      <c r="B17" s="46"/>
      <c r="C17" s="46"/>
      <c r="D17" s="46"/>
      <c r="E17" s="46"/>
      <c r="F17" s="46"/>
      <c r="G17" s="46"/>
    </row>
    <row r="18" spans="1:8" ht="16">
      <c r="A18" s="37" t="s">
        <v>15</v>
      </c>
      <c r="B18" s="46"/>
      <c r="C18" s="46"/>
      <c r="D18" s="46"/>
      <c r="E18" s="46"/>
      <c r="F18" s="46"/>
      <c r="G18" s="46"/>
      <c r="H18" s="46"/>
    </row>
    <row r="19" spans="1:8" ht="16">
      <c r="A19" s="38" t="s">
        <v>16</v>
      </c>
      <c r="B19" s="47">
        <v>826.0</v>
      </c>
      <c r="C19" s="47">
        <v>173.0</v>
      </c>
      <c r="D19" s="46"/>
      <c r="E19" s="46"/>
      <c r="F19" s="46"/>
      <c r="G19" s="46"/>
      <c r="H19" s="47">
        <f>B19+C19+D19+E19+F19+G19</f>
        <v>999.0</v>
      </c>
    </row>
    <row r="20" spans="1:8" ht="16">
      <c r="A20" s="38" t="s">
        <v>17</v>
      </c>
      <c r="B20" s="47">
        <v>3136.98</v>
      </c>
      <c r="C20" s="47">
        <v>2346.65</v>
      </c>
      <c r="D20" s="47">
        <v>1695.25</v>
      </c>
      <c r="E20" s="47">
        <v>1914.45</v>
      </c>
      <c r="F20" s="47">
        <v>1388.22</v>
      </c>
      <c r="G20" s="47">
        <v>514.04</v>
      </c>
      <c r="H20" s="47">
        <f>B20+C20+D20+E20+F20+G20</f>
        <v>10995.59</v>
      </c>
    </row>
    <row r="21" spans="1:8" ht="16">
      <c r="A21" s="38" t="s">
        <v>18</v>
      </c>
      <c r="B21" s="47">
        <v>390.0</v>
      </c>
      <c r="C21" s="47">
        <v>130.68</v>
      </c>
      <c r="D21" s="46"/>
      <c r="E21" s="47">
        <v>689.58</v>
      </c>
      <c r="F21" s="47">
        <v>201.96</v>
      </c>
      <c r="G21" s="46"/>
      <c r="H21" s="47">
        <f>B21+C21+D21+E21+F21+G21</f>
        <v>1412.2200000000003</v>
      </c>
    </row>
    <row r="22" spans="1:8" ht="16">
      <c r="A22" s="38" t="s">
        <v>19</v>
      </c>
      <c r="B22" s="47">
        <v>9527.26</v>
      </c>
      <c r="C22" s="47">
        <v>9899.92</v>
      </c>
      <c r="D22" s="47">
        <v>12485.9</v>
      </c>
      <c r="E22" s="47">
        <v>19174.29</v>
      </c>
      <c r="F22" s="47">
        <v>18017.57</v>
      </c>
      <c r="G22" s="47">
        <v>4394.59</v>
      </c>
      <c r="H22" s="47">
        <f>B22+C22+D22+E22+F22+G22</f>
        <v>73499.53</v>
      </c>
    </row>
    <row r="23" spans="1:8" ht="16">
      <c r="A23" s="41" t="s">
        <v>20</v>
      </c>
      <c r="B23" s="48">
        <f>B18+B19+B20+B21+B22</f>
        <v>13880.24</v>
      </c>
      <c r="C23" s="48">
        <f>C18+C19+C20+C21+C22</f>
        <v>12550.25</v>
      </c>
      <c r="D23" s="48">
        <f>D18+D19+D20+D21+D22</f>
        <v>14181.15</v>
      </c>
      <c r="E23" s="48">
        <f>E18+E19+E20+E21+E22</f>
        <v>21778.32</v>
      </c>
      <c r="F23" s="48">
        <f>F18+F19+F20+F21+F22</f>
        <v>19607.75</v>
      </c>
      <c r="G23" s="48">
        <f>G18+G19+G20+G21+G22</f>
        <v>4908.63</v>
      </c>
      <c r="H23" s="49">
        <f>B23+C23+D23+E23+F23+G23</f>
        <v>86906.34</v>
      </c>
    </row>
    <row r="24" spans="1:8" ht="16">
      <c r="A24" s="42" t="s">
        <v>21</v>
      </c>
      <c r="B24" s="48">
        <f>B17+B23</f>
        <v>13880.24</v>
      </c>
      <c r="C24" s="48">
        <f>C17+C23</f>
        <v>12550.25</v>
      </c>
      <c r="D24" s="48">
        <f>D17+D23</f>
        <v>14181.15</v>
      </c>
      <c r="E24" s="48">
        <f>E17+E23</f>
        <v>21778.32</v>
      </c>
      <c r="F24" s="48">
        <f>F17+F23</f>
        <v>19607.75</v>
      </c>
      <c r="G24" s="48">
        <f>G17+G23</f>
        <v>4908.63</v>
      </c>
      <c r="H24" s="49">
        <f>B24+C24+D24+E24+F24+G24</f>
        <v>86906.34</v>
      </c>
    </row>
    <row r="25" spans="1:8" ht="16">
      <c r="A25" s="42" t="s">
        <v>22</v>
      </c>
      <c r="B25" s="48">
        <f>B16-B24</f>
        <v>13749.999999999998</v>
      </c>
      <c r="C25" s="48">
        <f>C16-C24</f>
        <v>20616.449999999997</v>
      </c>
      <c r="D25" s="48">
        <f>D16-D24</f>
        <v>27784.66999999999</v>
      </c>
      <c r="E25" s="48">
        <f>E16-E24</f>
        <v>26738.15</v>
      </c>
      <c r="F25" s="48">
        <f>F16-F24</f>
        <v>18425.909999999996</v>
      </c>
      <c r="G25" s="48">
        <f>G16-G24</f>
        <v>199.3699999999999</v>
      </c>
      <c r="H25" s="49">
        <f>B25+C25+D25+E25+F25+G25</f>
        <v>107514.54999999999</v>
      </c>
    </row>
    <row r="26" spans="1:7" ht="16">
      <c r="A26" s="36" t="s">
        <v>23</v>
      </c>
      <c r="B26" s="46"/>
      <c r="C26" s="46"/>
      <c r="D26" s="46"/>
      <c r="E26" s="46"/>
      <c r="F26" s="46"/>
      <c r="G26" s="46"/>
    </row>
    <row r="27" spans="1:8" ht="16">
      <c r="A27" s="37" t="s">
        <v>24</v>
      </c>
      <c r="B27" s="47">
        <v>3.62</v>
      </c>
      <c r="C27" s="46"/>
      <c r="D27" s="46"/>
      <c r="E27" s="46"/>
      <c r="F27" s="46"/>
      <c r="G27" s="47">
        <v>109.07</v>
      </c>
      <c r="H27" s="47">
        <f>B27+C27+D27+E27+F27+G27</f>
        <v>112.69</v>
      </c>
    </row>
    <row r="28" spans="1:8" ht="16">
      <c r="A28" s="38" t="s">
        <v>25</v>
      </c>
      <c r="B28" s="46"/>
      <c r="C28" s="46"/>
      <c r="D28" s="47">
        <v>351.0</v>
      </c>
      <c r="E28" s="46"/>
      <c r="F28" s="47">
        <v>551.86</v>
      </c>
      <c r="G28" s="46"/>
      <c r="H28" s="47">
        <f>B28+C28+D28+E28+F28+G28</f>
        <v>902.86</v>
      </c>
    </row>
    <row r="29" spans="1:8" ht="16">
      <c r="A29" s="38" t="s">
        <v>26</v>
      </c>
      <c r="B29" s="47">
        <v>88.69</v>
      </c>
      <c r="C29" s="47">
        <v>326.86</v>
      </c>
      <c r="D29" s="47">
        <v>154.64</v>
      </c>
      <c r="E29" s="47">
        <v>363.81</v>
      </c>
      <c r="F29" s="47">
        <v>116.64</v>
      </c>
      <c r="G29" s="47">
        <v>130.42</v>
      </c>
      <c r="H29" s="47">
        <f>B29+C29+D29+E29+F29+G29</f>
        <v>1181.0600000000002</v>
      </c>
    </row>
    <row r="30" spans="1:8" ht="16">
      <c r="A30" s="41" t="s">
        <v>27</v>
      </c>
      <c r="B30" s="48">
        <f>B27+B28+B29</f>
        <v>92.31</v>
      </c>
      <c r="C30" s="48">
        <f>C27+C28+C29</f>
        <v>326.86</v>
      </c>
      <c r="D30" s="48">
        <f>D27+D28+D29</f>
        <v>505.64</v>
      </c>
      <c r="E30" s="48">
        <f>E27+E28+E29</f>
        <v>363.81</v>
      </c>
      <c r="F30" s="48">
        <f>F27+F28+F29</f>
        <v>668.5</v>
      </c>
      <c r="G30" s="48">
        <f>G27+G28+G29</f>
        <v>239.48999999999998</v>
      </c>
      <c r="H30" s="49">
        <f>B30+C30+D30+E30+F30+G30</f>
        <v>2196.6099999999997</v>
      </c>
    </row>
    <row r="31" spans="1:8" ht="16">
      <c r="A31" s="37" t="s">
        <v>28</v>
      </c>
      <c r="B31" s="46"/>
      <c r="C31" s="47">
        <v>691.0</v>
      </c>
      <c r="D31" s="47">
        <v>519.0</v>
      </c>
      <c r="E31" s="47">
        <v>692.0</v>
      </c>
      <c r="F31" s="47">
        <v>692.0</v>
      </c>
      <c r="G31" s="46"/>
      <c r="H31" s="47">
        <f>B31+C31+D31+E31+F31+G31</f>
        <v>2594.0</v>
      </c>
    </row>
    <row r="32" spans="1:8" ht="16">
      <c r="A32" s="37" t="s">
        <v>29</v>
      </c>
      <c r="B32" s="47">
        <v>139.48</v>
      </c>
      <c r="C32" s="46"/>
      <c r="D32" s="46"/>
      <c r="E32" s="46"/>
      <c r="F32" s="46"/>
      <c r="G32" s="46"/>
      <c r="H32" s="47">
        <f>B32+C32+D32+E32+F32+G32</f>
        <v>139.48</v>
      </c>
    </row>
    <row r="33" spans="1:8" ht="16">
      <c r="A33" s="37" t="s">
        <v>30</v>
      </c>
      <c r="B33" s="46"/>
      <c r="C33" s="46"/>
      <c r="D33" s="46"/>
      <c r="E33" s="46"/>
      <c r="F33" s="46"/>
      <c r="G33" s="46"/>
      <c r="H33" s="46"/>
    </row>
    <row r="34" spans="1:8" ht="16">
      <c r="A34" s="38" t="s">
        <v>31</v>
      </c>
      <c r="B34" s="46"/>
      <c r="C34" s="47">
        <v>5042.0</v>
      </c>
      <c r="D34" s="47">
        <v>5042.0</v>
      </c>
      <c r="E34" s="47">
        <v>6042.0</v>
      </c>
      <c r="F34" s="47">
        <v>5042.0</v>
      </c>
      <c r="G34" s="46"/>
      <c r="H34" s="47">
        <f>B34+C34+D34+E34+F34+G34</f>
        <v>21168.0</v>
      </c>
    </row>
    <row r="35" spans="1:8" ht="16">
      <c r="A35" s="38" t="s">
        <v>32</v>
      </c>
      <c r="B35" s="47">
        <v>530.0</v>
      </c>
      <c r="C35" s="47">
        <v>240.0</v>
      </c>
      <c r="D35" s="47">
        <v>240.0</v>
      </c>
      <c r="E35" s="47">
        <v>240.0</v>
      </c>
      <c r="F35" s="47">
        <v>240.0</v>
      </c>
      <c r="G35" s="46"/>
      <c r="H35" s="47">
        <f>B35+C35+D35+E35+F35+G35</f>
        <v>1490.0</v>
      </c>
    </row>
    <row r="36" spans="1:8" ht="16">
      <c r="A36" s="38" t="s">
        <v>33</v>
      </c>
      <c r="B36" s="46"/>
      <c r="C36" s="46"/>
      <c r="D36" s="46"/>
      <c r="E36" s="46"/>
      <c r="F36" s="47">
        <v>97.59</v>
      </c>
      <c r="G36" s="46"/>
      <c r="H36" s="47">
        <f>B36+C36+D36+E36+F36+G36</f>
        <v>97.59</v>
      </c>
    </row>
    <row r="37" spans="1:8" ht="16">
      <c r="A37" s="38" t="s">
        <v>34</v>
      </c>
      <c r="B37" s="46"/>
      <c r="C37" s="46"/>
      <c r="D37" s="46"/>
      <c r="E37" s="46"/>
      <c r="F37" s="46"/>
      <c r="G37" s="46"/>
      <c r="H37" s="46"/>
    </row>
    <row r="38" spans="1:8" ht="16">
      <c r="A38" s="39" t="s">
        <v>35</v>
      </c>
      <c r="B38" s="47">
        <v>160.0</v>
      </c>
      <c r="C38" s="47">
        <v>160.0</v>
      </c>
      <c r="D38" s="47">
        <v>160.0</v>
      </c>
      <c r="E38" s="47">
        <v>160.0</v>
      </c>
      <c r="F38" s="47">
        <v>160.0</v>
      </c>
      <c r="G38" s="46"/>
      <c r="H38" s="47">
        <f>B38+C38+D38+E38+F38+G38</f>
        <v>800.0</v>
      </c>
    </row>
    <row r="39" spans="1:8" ht="16">
      <c r="A39" s="39" t="s">
        <v>36</v>
      </c>
      <c r="B39" s="47">
        <v>139.88</v>
      </c>
      <c r="C39" s="47">
        <v>245.26</v>
      </c>
      <c r="D39" s="47">
        <v>60.88</v>
      </c>
      <c r="E39" s="47">
        <v>60.0</v>
      </c>
      <c r="F39" s="47">
        <v>71.13</v>
      </c>
      <c r="G39" s="47">
        <v>30.0</v>
      </c>
      <c r="H39" s="47">
        <f>B39+C39+D39+E39+F39+G39</f>
        <v>607.15</v>
      </c>
    </row>
    <row r="40" spans="1:8" ht="16">
      <c r="A40" s="40" t="s">
        <v>37</v>
      </c>
      <c r="B40" s="48">
        <f>B37+B38+B39</f>
        <v>299.88</v>
      </c>
      <c r="C40" s="48">
        <f>C37+C38+C39</f>
        <v>405.26</v>
      </c>
      <c r="D40" s="48">
        <f>D37+D38+D39</f>
        <v>220.88</v>
      </c>
      <c r="E40" s="48">
        <f>E37+E38+E39</f>
        <v>220.0</v>
      </c>
      <c r="F40" s="48">
        <f>F37+F38+F39</f>
        <v>231.13</v>
      </c>
      <c r="G40" s="48">
        <f>G37+G38+G39</f>
        <v>30.0</v>
      </c>
      <c r="H40" s="49">
        <f>B40+C40+D40+E40+F40+G40</f>
        <v>1407.15</v>
      </c>
    </row>
    <row r="41" spans="1:8" ht="16">
      <c r="A41" s="41" t="s">
        <v>38</v>
      </c>
      <c r="B41" s="48">
        <f>B33+B34+B35+B36+B40</f>
        <v>829.88</v>
      </c>
      <c r="C41" s="48">
        <f>C33+C34+C35+C36+C40</f>
        <v>5687.26</v>
      </c>
      <c r="D41" s="48">
        <f>D33+D34+D35+D36+D40</f>
        <v>5502.88</v>
      </c>
      <c r="E41" s="48">
        <f>E33+E34+E35+E36+E40</f>
        <v>6502.0</v>
      </c>
      <c r="F41" s="48">
        <f>F33+F34+F35+F36+F40</f>
        <v>5610.72</v>
      </c>
      <c r="G41" s="48">
        <f>G33+G34+G35+G36+G40</f>
        <v>30.0</v>
      </c>
      <c r="H41" s="49">
        <f>B41+C41+D41+E41+F41+G41</f>
        <v>24162.74</v>
      </c>
    </row>
    <row r="42" spans="1:8" ht="16">
      <c r="A42" s="37" t="s">
        <v>39</v>
      </c>
      <c r="B42" s="46"/>
      <c r="C42" s="46"/>
      <c r="D42" s="46"/>
      <c r="E42" s="46"/>
      <c r="F42" s="46"/>
      <c r="G42" s="46"/>
      <c r="H42" s="46"/>
    </row>
    <row r="43" spans="1:8" ht="16">
      <c r="A43" s="38" t="s">
        <v>40</v>
      </c>
      <c r="B43" s="47">
        <v>55.75</v>
      </c>
      <c r="C43" s="47">
        <v>5.9</v>
      </c>
      <c r="D43" s="47">
        <v>601.88</v>
      </c>
      <c r="E43" s="47">
        <v>5.3</v>
      </c>
      <c r="F43" s="47">
        <v>4.19</v>
      </c>
      <c r="G43" s="47">
        <v>4.2</v>
      </c>
      <c r="H43" s="47">
        <f>B43+C43+D43+E43+F43+G43</f>
        <v>677.22</v>
      </c>
    </row>
    <row r="44" spans="1:8" ht="16">
      <c r="A44" s="38" t="s">
        <v>41</v>
      </c>
      <c r="B44" s="47">
        <v>65.0</v>
      </c>
      <c r="C44" s="47">
        <v>336.43</v>
      </c>
      <c r="D44" s="47">
        <v>65.0</v>
      </c>
      <c r="E44" s="47">
        <v>49.83</v>
      </c>
      <c r="F44" s="47">
        <v>209.82</v>
      </c>
      <c r="G44" s="46"/>
      <c r="H44" s="47">
        <f>B44+C44+D44+E44+F44+G44</f>
        <v>726.0799999999999</v>
      </c>
    </row>
    <row r="45" spans="1:8" ht="16">
      <c r="A45" s="38" t="s">
        <v>42</v>
      </c>
      <c r="B45" s="47">
        <v>85.23</v>
      </c>
      <c r="C45" s="47">
        <v>161.99</v>
      </c>
      <c r="D45" s="47">
        <v>303.68</v>
      </c>
      <c r="E45" s="47">
        <v>274.35</v>
      </c>
      <c r="F45" s="47">
        <v>610.65</v>
      </c>
      <c r="G45" s="47">
        <v>178.0</v>
      </c>
      <c r="H45" s="47">
        <f>B45+C45+D45+E45+F45+G45</f>
        <v>1613.9</v>
      </c>
    </row>
    <row r="46" spans="1:8" ht="16">
      <c r="A46" s="41" t="s">
        <v>43</v>
      </c>
      <c r="B46" s="48">
        <f>B42+B43+B44+B45</f>
        <v>205.98000000000002</v>
      </c>
      <c r="C46" s="48">
        <f>C42+C43+C44+C45</f>
        <v>504.32</v>
      </c>
      <c r="D46" s="48">
        <f>D42+D43+D44+D45</f>
        <v>970.56</v>
      </c>
      <c r="E46" s="48">
        <f>E42+E43+E44+E45</f>
        <v>329.48</v>
      </c>
      <c r="F46" s="48">
        <f>F42+F43+F44+F45</f>
        <v>824.66</v>
      </c>
      <c r="G46" s="48">
        <f>G42+G43+G44+G45</f>
        <v>182.2</v>
      </c>
      <c r="H46" s="49">
        <f>B46+C46+D46+E46+F46+G46</f>
        <v>3017.2</v>
      </c>
    </row>
    <row r="47" spans="1:8" ht="16">
      <c r="A47" s="37" t="s">
        <v>44</v>
      </c>
      <c r="B47" s="47">
        <v>346.13</v>
      </c>
      <c r="C47" s="47">
        <v>346.13</v>
      </c>
      <c r="D47" s="47">
        <v>346.13</v>
      </c>
      <c r="E47" s="47">
        <v>346.13</v>
      </c>
      <c r="F47" s="47">
        <v>290.63</v>
      </c>
      <c r="G47" s="46"/>
      <c r="H47" s="47">
        <f>B47+C47+D47+E47+F47+G47</f>
        <v>1675.15</v>
      </c>
    </row>
    <row r="48" spans="1:8" ht="16">
      <c r="A48" s="38" t="s">
        <v>45</v>
      </c>
      <c r="B48" s="46"/>
      <c r="C48" s="46"/>
      <c r="D48" s="46"/>
      <c r="E48" s="46"/>
      <c r="F48" s="47">
        <v>74.58</v>
      </c>
      <c r="G48" s="46"/>
      <c r="H48" s="47">
        <f>B48+C48+D48+E48+F48+G48</f>
        <v>74.58</v>
      </c>
    </row>
    <row r="49" spans="1:8" ht="16">
      <c r="A49" s="41" t="s">
        <v>46</v>
      </c>
      <c r="B49" s="48">
        <f>B47+B48</f>
        <v>346.13</v>
      </c>
      <c r="C49" s="48">
        <f>C47+C48</f>
        <v>346.13</v>
      </c>
      <c r="D49" s="48">
        <f>D47+D48</f>
        <v>346.13</v>
      </c>
      <c r="E49" s="48">
        <f>E47+E48</f>
        <v>346.13</v>
      </c>
      <c r="F49" s="48">
        <f>F47+F48</f>
        <v>365.21</v>
      </c>
      <c r="G49" s="49">
        <f>G47+G48</f>
        <v>0.0</v>
      </c>
      <c r="H49" s="49">
        <f>B49+C49+D49+E49+F49+G49</f>
        <v>1749.73</v>
      </c>
    </row>
    <row r="50" spans="1:8" ht="16">
      <c r="A50" s="37" t="s">
        <v>47</v>
      </c>
      <c r="B50" s="46"/>
      <c r="C50" s="47">
        <v>101.84</v>
      </c>
      <c r="D50" s="46"/>
      <c r="E50" s="46"/>
      <c r="F50" s="46"/>
      <c r="G50" s="46"/>
      <c r="H50" s="47">
        <f>B50+C50+D50+E50+F50+G50</f>
        <v>101.84</v>
      </c>
    </row>
    <row r="51" spans="1:8" ht="16">
      <c r="A51" s="38" t="s">
        <v>48</v>
      </c>
      <c r="B51" s="47">
        <v>185.63</v>
      </c>
      <c r="C51" s="47">
        <v>255.58</v>
      </c>
      <c r="D51" s="47">
        <v>434.76</v>
      </c>
      <c r="E51" s="47">
        <v>521.15</v>
      </c>
      <c r="F51" s="46"/>
      <c r="G51" s="46"/>
      <c r="H51" s="47">
        <f>B51+C51+D51+E51+F51+G51</f>
        <v>1397.12</v>
      </c>
    </row>
    <row r="52" spans="1:8" ht="16">
      <c r="A52" s="41" t="s">
        <v>49</v>
      </c>
      <c r="B52" s="48">
        <f>B50+B51</f>
        <v>185.63</v>
      </c>
      <c r="C52" s="48">
        <f>C50+C51</f>
        <v>357.42</v>
      </c>
      <c r="D52" s="48">
        <f>D50+D51</f>
        <v>434.76</v>
      </c>
      <c r="E52" s="48">
        <f>E50+E51</f>
        <v>521.15</v>
      </c>
      <c r="F52" s="49">
        <f>F50+F51</f>
        <v>0.0</v>
      </c>
      <c r="G52" s="49">
        <f>G50+G51</f>
        <v>0.0</v>
      </c>
      <c r="H52" s="49">
        <f>B52+C52+D52+E52+F52+G52</f>
        <v>1498.96</v>
      </c>
    </row>
    <row r="53" spans="1:8" ht="16">
      <c r="A53" s="37" t="s">
        <v>50</v>
      </c>
      <c r="B53" s="46"/>
      <c r="C53" s="46"/>
      <c r="D53" s="46"/>
      <c r="E53" s="46"/>
      <c r="F53" s="46"/>
      <c r="G53" s="46"/>
      <c r="H53" s="46"/>
    </row>
    <row r="54" spans="1:8" ht="16">
      <c r="A54" s="38" t="s">
        <v>51</v>
      </c>
      <c r="B54" s="47">
        <v>151.2</v>
      </c>
      <c r="C54" s="46"/>
      <c r="D54" s="47">
        <v>1843.8</v>
      </c>
      <c r="E54" s="47">
        <v>387.6</v>
      </c>
      <c r="F54" s="46"/>
      <c r="G54" s="46"/>
      <c r="H54" s="47">
        <f>B54+C54+D54+E54+F54+G54</f>
        <v>2382.6</v>
      </c>
    </row>
    <row r="55" spans="1:8" ht="16">
      <c r="A55" s="41" t="s">
        <v>52</v>
      </c>
      <c r="B55" s="48">
        <f>B53+B54</f>
        <v>151.2</v>
      </c>
      <c r="C55" s="49">
        <f>C53+C54</f>
        <v>0.0</v>
      </c>
      <c r="D55" s="48">
        <f>D53+D54</f>
        <v>1843.8</v>
      </c>
      <c r="E55" s="48">
        <f>E53+E54</f>
        <v>387.6</v>
      </c>
      <c r="F55" s="49">
        <f>F53+F54</f>
        <v>0.0</v>
      </c>
      <c r="G55" s="49">
        <f>G53+G54</f>
        <v>0.0</v>
      </c>
      <c r="H55" s="49">
        <f>B55+C55+D55+E55+F55+G55</f>
        <v>2382.6</v>
      </c>
    </row>
    <row r="56" spans="1:8" ht="16">
      <c r="A56" s="37" t="s">
        <v>53</v>
      </c>
      <c r="B56" s="46"/>
      <c r="C56" s="46"/>
      <c r="D56" s="46"/>
      <c r="E56" s="46"/>
      <c r="F56" s="46"/>
      <c r="G56" s="46"/>
      <c r="H56" s="46"/>
    </row>
    <row r="57" spans="1:8" ht="16">
      <c r="A57" s="38" t="s">
        <v>54</v>
      </c>
      <c r="B57" s="47">
        <v>105.81</v>
      </c>
      <c r="C57" s="46"/>
      <c r="D57" s="47">
        <v>341.78</v>
      </c>
      <c r="E57" s="47">
        <v>97.96</v>
      </c>
      <c r="F57" s="47">
        <v>231.56</v>
      </c>
      <c r="G57" s="46"/>
      <c r="H57" s="47">
        <f>B57+C57+D57+E57+F57+G57</f>
        <v>777.1099999999999</v>
      </c>
    </row>
    <row r="58" spans="1:8" ht="16">
      <c r="A58" s="41" t="s">
        <v>55</v>
      </c>
      <c r="B58" s="48">
        <f>B56+B57</f>
        <v>105.81</v>
      </c>
      <c r="C58" s="49">
        <f>C56+C57</f>
        <v>0.0</v>
      </c>
      <c r="D58" s="48">
        <f>D56+D57</f>
        <v>341.78</v>
      </c>
      <c r="E58" s="48">
        <f>E56+E57</f>
        <v>97.96</v>
      </c>
      <c r="F58" s="48">
        <f>F56+F57</f>
        <v>231.56</v>
      </c>
      <c r="G58" s="49">
        <f>G56+G57</f>
        <v>0.0</v>
      </c>
      <c r="H58" s="49">
        <f>B58+C58+D58+E58+F58+G58</f>
        <v>777.1099999999999</v>
      </c>
    </row>
    <row r="59" spans="1:8" ht="16">
      <c r="A59" s="37" t="s">
        <v>56</v>
      </c>
      <c r="B59" s="46"/>
      <c r="C59" s="46"/>
      <c r="D59" s="46"/>
      <c r="E59" s="46"/>
      <c r="F59" s="46"/>
      <c r="G59" s="46"/>
      <c r="H59" s="46"/>
    </row>
    <row r="60" spans="1:8" ht="16">
      <c r="A60" s="38" t="s">
        <v>57</v>
      </c>
      <c r="B60" s="47">
        <v>451.17</v>
      </c>
      <c r="C60" s="47">
        <v>479.41</v>
      </c>
      <c r="D60" s="47">
        <v>193.99</v>
      </c>
      <c r="E60" s="47">
        <v>32.4</v>
      </c>
      <c r="F60" s="47">
        <v>32.4</v>
      </c>
      <c r="G60" s="47">
        <v>147.93</v>
      </c>
      <c r="H60" s="47">
        <f>B60+C60+D60+E60+F60+G60</f>
        <v>1337.3000000000004</v>
      </c>
    </row>
    <row r="61" spans="1:8" ht="16">
      <c r="A61" s="38" t="s">
        <v>58</v>
      </c>
      <c r="B61" s="47">
        <v>226.65</v>
      </c>
      <c r="C61" s="47">
        <v>214.7</v>
      </c>
      <c r="D61" s="47">
        <v>325.58</v>
      </c>
      <c r="E61" s="47">
        <v>522.32</v>
      </c>
      <c r="F61" s="47">
        <v>1309.66</v>
      </c>
      <c r="G61" s="46"/>
      <c r="H61" s="47">
        <f>B61+C61+D61+E61+F61+G61</f>
        <v>2598.91</v>
      </c>
    </row>
    <row r="62" spans="1:8" ht="16">
      <c r="A62" s="38" t="s">
        <v>59</v>
      </c>
      <c r="B62" s="47">
        <v>301.73</v>
      </c>
      <c r="C62" s="47">
        <v>87.05</v>
      </c>
      <c r="D62" s="47">
        <v>223.92</v>
      </c>
      <c r="E62" s="47">
        <v>150.18</v>
      </c>
      <c r="F62" s="47">
        <v>864.81</v>
      </c>
      <c r="G62" s="46"/>
      <c r="H62" s="47">
        <f>B62+C62+D62+E62+F62+G62</f>
        <v>1627.69</v>
      </c>
    </row>
    <row r="63" spans="1:8" ht="16">
      <c r="A63" s="38" t="s">
        <v>60</v>
      </c>
      <c r="B63" s="47">
        <v>10.0</v>
      </c>
      <c r="C63" s="47">
        <v>10.0</v>
      </c>
      <c r="D63" s="47">
        <v>10.0</v>
      </c>
      <c r="E63" s="47">
        <v>44.59</v>
      </c>
      <c r="F63" s="46"/>
      <c r="G63" s="46"/>
      <c r="H63" s="47">
        <f>B63+C63+D63+E63+F63+G63</f>
        <v>74.59</v>
      </c>
    </row>
    <row r="64" spans="1:8" ht="16">
      <c r="A64" s="38" t="s">
        <v>61</v>
      </c>
      <c r="B64" s="47">
        <v>661.86</v>
      </c>
      <c r="C64" s="47">
        <v>320.1</v>
      </c>
      <c r="D64" s="47">
        <v>364.57</v>
      </c>
      <c r="E64" s="47">
        <v>17.38</v>
      </c>
      <c r="F64" s="47">
        <v>79.22</v>
      </c>
      <c r="G64" s="46"/>
      <c r="H64" s="47">
        <f>B64+C64+D64+E64+F64+G64</f>
        <v>1443.13</v>
      </c>
    </row>
    <row r="65" spans="1:8" ht="16">
      <c r="A65" s="41" t="s">
        <v>62</v>
      </c>
      <c r="B65" s="48">
        <f>B59+B60+B61+B62+B63+B64</f>
        <v>1651.41</v>
      </c>
      <c r="C65" s="48">
        <f>C59+C60+C61+C62+C63+C64</f>
        <v>1111.26</v>
      </c>
      <c r="D65" s="48">
        <f>D59+D60+D61+D62+D63+D64</f>
        <v>1118.06</v>
      </c>
      <c r="E65" s="48">
        <f>E59+E60+E61+E62+E63+E64</f>
        <v>766.8700000000001</v>
      </c>
      <c r="F65" s="48">
        <f>F59+F60+F61+F62+F63+F64</f>
        <v>2286.0899999999997</v>
      </c>
      <c r="G65" s="48">
        <f>G59+G60+G61+G62+G63+G64</f>
        <v>147.93</v>
      </c>
      <c r="H65" s="49">
        <f>B65+C65+D65+E65+F65+G65</f>
        <v>7081.620000000001</v>
      </c>
    </row>
    <row r="66" spans="1:8" ht="16">
      <c r="A66" s="37" t="s">
        <v>63</v>
      </c>
      <c r="B66" s="47">
        <v>0.01</v>
      </c>
      <c r="C66" s="51">
        <v>0</v>
      </c>
      <c r="D66" s="51">
        <v>0</v>
      </c>
      <c r="E66" s="51">
        <v>0</v>
      </c>
      <c r="F66" s="47">
        <v>187.67</v>
      </c>
      <c r="G66" s="46"/>
      <c r="H66" s="47">
        <f>B66+C66+D66+E66+F66+G66</f>
        <v>187.67999999999998</v>
      </c>
    </row>
    <row r="67" spans="1:8" ht="16">
      <c r="A67" s="38" t="s">
        <v>64</v>
      </c>
      <c r="B67" s="46"/>
      <c r="C67" s="46"/>
      <c r="D67" s="46"/>
      <c r="E67" s="46"/>
      <c r="F67" s="46"/>
      <c r="G67" s="46"/>
      <c r="H67" s="46"/>
    </row>
    <row r="68" spans="1:8" ht="16">
      <c r="A68" s="39" t="s">
        <v>65</v>
      </c>
      <c r="B68" s="47">
        <v>9603.51</v>
      </c>
      <c r="C68" s="47">
        <v>12155.55</v>
      </c>
      <c r="D68" s="47">
        <v>13371.63</v>
      </c>
      <c r="E68" s="47">
        <v>12625.88</v>
      </c>
      <c r="F68" s="47">
        <v>18827.25</v>
      </c>
      <c r="G68" s="46"/>
      <c r="H68" s="47">
        <f>B68+C68+D68+E68+F68+G68</f>
        <v>66583.81999999999</v>
      </c>
    </row>
    <row r="69" spans="1:8" ht="16">
      <c r="A69" s="40" t="s">
        <v>66</v>
      </c>
      <c r="B69" s="48">
        <f>B67+B68</f>
        <v>9603.51</v>
      </c>
      <c r="C69" s="48">
        <f>C67+C68</f>
        <v>12155.55</v>
      </c>
      <c r="D69" s="48">
        <f>D67+D68</f>
        <v>13371.63</v>
      </c>
      <c r="E69" s="48">
        <f>E67+E68</f>
        <v>12625.88</v>
      </c>
      <c r="F69" s="48">
        <f>F67+F68</f>
        <v>18827.25</v>
      </c>
      <c r="G69" s="49">
        <f>G67+G68</f>
        <v>0.0</v>
      </c>
      <c r="H69" s="49">
        <f>B69+C69+D69+E69+F69+G69</f>
        <v>66583.81999999999</v>
      </c>
    </row>
    <row r="70" spans="1:8" ht="16">
      <c r="A70" s="38" t="s">
        <v>67</v>
      </c>
      <c r="B70" s="46"/>
      <c r="C70" s="46"/>
      <c r="D70" s="46"/>
      <c r="E70" s="46"/>
      <c r="F70" s="46"/>
      <c r="G70" s="46"/>
      <c r="H70" s="46"/>
    </row>
    <row r="71" spans="1:8" ht="16">
      <c r="A71" s="39" t="s">
        <v>68</v>
      </c>
      <c r="B71" s="47">
        <v>663.08</v>
      </c>
      <c r="C71" s="47">
        <v>828.89</v>
      </c>
      <c r="D71" s="47">
        <v>902.03</v>
      </c>
      <c r="E71" s="47">
        <v>835.08</v>
      </c>
      <c r="F71" s="47">
        <v>1275.84</v>
      </c>
      <c r="G71" s="46"/>
      <c r="H71" s="47">
        <f>B71+C71+D71+E71+F71+G71</f>
        <v>4504.92</v>
      </c>
    </row>
    <row r="72" spans="1:8" ht="16">
      <c r="A72" s="39" t="s">
        <v>69</v>
      </c>
      <c r="B72" s="47">
        <v>51.99</v>
      </c>
      <c r="C72" s="47">
        <v>65.0</v>
      </c>
      <c r="D72" s="47">
        <v>58.28</v>
      </c>
      <c r="E72" s="47">
        <v>46.3</v>
      </c>
      <c r="F72" s="47">
        <v>72.31</v>
      </c>
      <c r="G72" s="46"/>
      <c r="H72" s="47">
        <f>B72+C72+D72+E72+F72+G72</f>
        <v>293.88</v>
      </c>
    </row>
    <row r="73" spans="1:8" ht="16">
      <c r="A73" s="39" t="s">
        <v>70</v>
      </c>
      <c r="B73" s="47">
        <v>-37.43</v>
      </c>
      <c r="C73" s="47">
        <v>-46.79</v>
      </c>
      <c r="D73" s="47">
        <v>-50.93</v>
      </c>
      <c r="E73" s="47">
        <v>-47.16</v>
      </c>
      <c r="F73" s="47">
        <v>-72.04</v>
      </c>
      <c r="G73" s="46"/>
      <c r="H73" s="47">
        <f>B73+C73+D73+E73+F73+G73</f>
        <v>-254.35000000000002</v>
      </c>
    </row>
    <row r="74" spans="1:8" ht="16">
      <c r="A74" s="39" t="s">
        <v>71</v>
      </c>
      <c r="B74" s="47">
        <v>4.13</v>
      </c>
      <c r="C74" s="47">
        <v>8.13</v>
      </c>
      <c r="D74" s="46"/>
      <c r="E74" s="46"/>
      <c r="F74" s="46"/>
      <c r="G74" s="46"/>
      <c r="H74" s="47">
        <f>B74+C74+D74+E74+F74+G74</f>
        <v>12.260000000000002</v>
      </c>
    </row>
    <row r="75" spans="1:8" ht="16">
      <c r="A75" s="39" t="s">
        <v>72</v>
      </c>
      <c r="B75" s="47">
        <v>177.93</v>
      </c>
      <c r="C75" s="47">
        <v>219.44</v>
      </c>
      <c r="D75" s="47">
        <v>247.68</v>
      </c>
      <c r="E75" s="47">
        <v>294.78</v>
      </c>
      <c r="F75" s="47">
        <v>450.35</v>
      </c>
      <c r="G75" s="46"/>
      <c r="H75" s="47">
        <f>B75+C75+D75+E75+F75+G75</f>
        <v>1390.1799999999998</v>
      </c>
    </row>
    <row r="76" spans="1:8" ht="16">
      <c r="A76" s="39" t="s">
        <v>73</v>
      </c>
      <c r="B76" s="47">
        <v>-18.14</v>
      </c>
      <c r="C76" s="47">
        <v>-21.04</v>
      </c>
      <c r="D76" s="47">
        <v>-25.65</v>
      </c>
      <c r="E76" s="47">
        <v>-19.69</v>
      </c>
      <c r="F76" s="47">
        <v>-32.48</v>
      </c>
      <c r="G76" s="46"/>
      <c r="H76" s="47">
        <f>B76+C76+D76+E76+F76+G76</f>
        <v>-117.0</v>
      </c>
    </row>
    <row r="77" spans="1:8" ht="16">
      <c r="A77" s="40" t="s">
        <v>74</v>
      </c>
      <c r="B77" s="48">
        <f>B70+B71+B72+B73+B74+B75+B76</f>
        <v>841.5600000000001</v>
      </c>
      <c r="C77" s="48">
        <f>C70+C71+C72+C73+C74+C75+C76</f>
        <v>1053.63</v>
      </c>
      <c r="D77" s="48">
        <f>D70+D71+D72+D73+D74+D75+D76</f>
        <v>1131.4099999999999</v>
      </c>
      <c r="E77" s="48">
        <f>E70+E71+E72+E73+E74+E75+E76</f>
        <v>1109.31</v>
      </c>
      <c r="F77" s="48">
        <f>F70+F71+F72+F73+F74+F75+F76</f>
        <v>1693.98</v>
      </c>
      <c r="G77" s="49">
        <f>G70+G71+G72+G73+G74+G75+G76</f>
        <v>0.0</v>
      </c>
      <c r="H77" s="49">
        <f>B77+C77+D77+E77+F77+G77</f>
        <v>5829.889999999999</v>
      </c>
    </row>
    <row r="78" spans="1:8" ht="16">
      <c r="A78" s="38" t="s">
        <v>75</v>
      </c>
      <c r="B78" s="47">
        <v>116.9</v>
      </c>
      <c r="C78" s="47">
        <v>142.48</v>
      </c>
      <c r="D78" s="47">
        <v>157.18</v>
      </c>
      <c r="E78" s="47">
        <v>213.98</v>
      </c>
      <c r="F78" s="47">
        <v>136.7</v>
      </c>
      <c r="G78" s="46"/>
      <c r="H78" s="47">
        <f>B78+C78+D78+E78+F78+G78</f>
        <v>767.24</v>
      </c>
    </row>
    <row r="79" spans="1:8" ht="16">
      <c r="A79" s="41" t="s">
        <v>76</v>
      </c>
      <c r="B79" s="48">
        <f>B66+B69+B77+B78</f>
        <v>10561.98</v>
      </c>
      <c r="C79" s="48">
        <f>C66+C69+C77+C78</f>
        <v>13351.66</v>
      </c>
      <c r="D79" s="48">
        <f>D66+D69+D77+D78</f>
        <v>14660.22</v>
      </c>
      <c r="E79" s="48">
        <f>E66+E69+E77+E78</f>
        <v>13949.169999999998</v>
      </c>
      <c r="F79" s="48">
        <f>F66+F69+F77+F78</f>
        <v>20845.6</v>
      </c>
      <c r="G79" s="49">
        <f>G66+G69+G77+G78</f>
        <v>0.0</v>
      </c>
      <c r="H79" s="49">
        <f>B79+C79+D79+E79+F79+G79</f>
        <v>73368.63</v>
      </c>
    </row>
    <row r="80" spans="1:8" ht="16">
      <c r="A80" s="37" t="s">
        <v>77</v>
      </c>
      <c r="B80" s="47">
        <v>83.39</v>
      </c>
      <c r="C80" s="47">
        <v>128.27</v>
      </c>
      <c r="D80" s="47">
        <v>131.69</v>
      </c>
      <c r="E80" s="47">
        <v>95.98</v>
      </c>
      <c r="F80" s="47">
        <v>166.0</v>
      </c>
      <c r="G80" s="47">
        <v>20.0</v>
      </c>
      <c r="H80" s="47">
        <f>B80+C80+D80+E80+F80+G80</f>
        <v>625.33</v>
      </c>
    </row>
    <row r="81" spans="1:8" ht="16">
      <c r="A81" s="42" t="s">
        <v>78</v>
      </c>
      <c r="B81" s="48">
        <f>B26+B30+B31+B32+B41+B46+B49+B52+B55+B58+B65+B79+B80</f>
        <v>14353.2</v>
      </c>
      <c r="C81" s="48">
        <f>C26+C30+C31+C32+C41+C46+C49+C52+C55+C58+C65+C79+C80</f>
        <v>22504.18</v>
      </c>
      <c r="D81" s="48">
        <f>D26+D30+D31+D32+D41+D46+D49+D52+D55+D58+D65+D79+D80</f>
        <v>26374.519999999997</v>
      </c>
      <c r="E81" s="48">
        <f>E26+E30+E31+E32+E41+E46+E49+E52+E55+E58+E65+E79+E80</f>
        <v>24052.149999999998</v>
      </c>
      <c r="F81" s="48">
        <f>F26+F30+F31+F32+F41+F46+F49+F52+F55+F58+F65+F79+F80</f>
        <v>31690.339999999997</v>
      </c>
      <c r="G81" s="48">
        <f>G26+G30+G31+G32+G41+G46+G49+G52+G55+G58+G65+G79+G80</f>
        <v>619.62</v>
      </c>
      <c r="H81" s="49">
        <f>B81+C81+D81+E81+F81+G81</f>
        <v>119594.01</v>
      </c>
    </row>
    <row r="82" spans="1:8" ht="16">
      <c r="A82" s="42" t="s">
        <v>79</v>
      </c>
      <c r="B82" s="48">
        <f>B25-B81</f>
        <v>-603.2000000000025</v>
      </c>
      <c r="C82" s="48">
        <f>C25-C81</f>
        <v>-1887.7300000000032</v>
      </c>
      <c r="D82" s="48">
        <f>D25-D81</f>
        <v>1410.1499999999942</v>
      </c>
      <c r="E82" s="48">
        <f>E25-E81</f>
        <v>2686.0000000000036</v>
      </c>
      <c r="F82" s="48">
        <f>F25-F81</f>
        <v>-13264.43</v>
      </c>
      <c r="G82" s="48">
        <f>G25-G81</f>
        <v>-420.2500000000001</v>
      </c>
      <c r="H82" s="49">
        <f>B82+C82+D82+E82+F82+G82</f>
        <v>-12079.460000000008</v>
      </c>
    </row>
    <row r="83" spans="1:7" ht="16">
      <c r="A83" s="36" t="s">
        <v>80</v>
      </c>
      <c r="B83" s="46"/>
      <c r="C83" s="46"/>
      <c r="D83" s="46"/>
      <c r="E83" s="46"/>
      <c r="F83" s="46"/>
      <c r="G83" s="46"/>
    </row>
    <row r="84" spans="1:8" ht="16">
      <c r="A84" s="37" t="s">
        <v>81</v>
      </c>
      <c r="B84" s="46"/>
      <c r="C84" s="46"/>
      <c r="D84" s="46"/>
      <c r="E84" s="46"/>
      <c r="F84" s="46"/>
      <c r="G84" s="46"/>
      <c r="H84" s="46"/>
    </row>
    <row r="85" spans="1:8" ht="16">
      <c r="A85" s="38" t="s">
        <v>82</v>
      </c>
      <c r="B85" s="46"/>
      <c r="C85" s="46"/>
      <c r="D85" s="47">
        <v>538.8</v>
      </c>
      <c r="E85" s="47">
        <v>67.24</v>
      </c>
      <c r="F85" s="46"/>
      <c r="G85" s="46"/>
      <c r="H85" s="47">
        <f>B85+C85+D85+E85+F85+G85</f>
        <v>606.04</v>
      </c>
    </row>
    <row r="86" spans="1:8" ht="16">
      <c r="A86" s="38" t="s">
        <v>83</v>
      </c>
      <c r="B86" s="47">
        <v>0.11</v>
      </c>
      <c r="C86" s="47">
        <v>0.06</v>
      </c>
      <c r="D86" s="47">
        <v>0.02</v>
      </c>
      <c r="E86" s="46"/>
      <c r="F86" s="46"/>
      <c r="G86" s="46"/>
      <c r="H86" s="47">
        <f>B86+C86+D86+E86+F86+G86</f>
        <v>0.18999999999999997</v>
      </c>
    </row>
    <row r="87" spans="1:8" ht="16">
      <c r="A87" s="41" t="s">
        <v>84</v>
      </c>
      <c r="B87" s="48">
        <f>B84+B85+B86</f>
        <v>0.11</v>
      </c>
      <c r="C87" s="48">
        <f>C84+C85+C86</f>
        <v>0.06</v>
      </c>
      <c r="D87" s="48">
        <f>D84+D85+D86</f>
        <v>538.8199999999999</v>
      </c>
      <c r="E87" s="48">
        <f>E84+E85+E86</f>
        <v>67.24</v>
      </c>
      <c r="F87" s="49">
        <f>F84+F85+F86</f>
        <v>0.0</v>
      </c>
      <c r="G87" s="49">
        <f>G84+G85+G86</f>
        <v>0.0</v>
      </c>
      <c r="H87" s="49">
        <f>B87+C87+D87+E87+F87+G87</f>
        <v>606.2299999999999</v>
      </c>
    </row>
    <row r="88" spans="1:8" ht="16">
      <c r="A88" s="42" t="s">
        <v>85</v>
      </c>
      <c r="B88" s="48">
        <f>B83+B87</f>
        <v>0.11</v>
      </c>
      <c r="C88" s="48">
        <f>C83+C87</f>
        <v>0.06</v>
      </c>
      <c r="D88" s="48">
        <f>D83+D87</f>
        <v>538.8199999999999</v>
      </c>
      <c r="E88" s="48">
        <f>E83+E87</f>
        <v>67.24</v>
      </c>
      <c r="F88" s="49">
        <f>F83+F87</f>
        <v>0.0</v>
      </c>
      <c r="G88" s="49">
        <f>G83+G87</f>
        <v>0.0</v>
      </c>
      <c r="H88" s="49">
        <f>B88+C88+D88+E88+F88+G88</f>
        <v>606.2299999999999</v>
      </c>
    </row>
    <row r="89" spans="1:7" ht="16">
      <c r="A89" s="36" t="s">
        <v>86</v>
      </c>
      <c r="B89" s="46"/>
      <c r="C89" s="46"/>
      <c r="D89" s="46"/>
      <c r="E89" s="46"/>
      <c r="F89" s="46"/>
      <c r="G89" s="46"/>
    </row>
    <row r="90" spans="1:8" ht="16">
      <c r="A90" s="37" t="s">
        <v>87</v>
      </c>
      <c r="B90" s="46"/>
      <c r="C90" s="46"/>
      <c r="D90" s="47">
        <v>75.0</v>
      </c>
      <c r="E90" s="46"/>
      <c r="F90" s="46"/>
      <c r="G90" s="46"/>
      <c r="H90" s="47">
        <f>B90+C90+D90+E90+F90+G90</f>
        <v>75.0</v>
      </c>
    </row>
    <row r="91" spans="1:8" ht="16">
      <c r="A91" s="37" t="s">
        <v>88</v>
      </c>
      <c r="B91" s="46"/>
      <c r="C91" s="46"/>
      <c r="D91" s="46"/>
      <c r="E91" s="46"/>
      <c r="F91" s="46"/>
      <c r="G91" s="46"/>
      <c r="H91" s="46"/>
    </row>
    <row r="92" spans="1:8" ht="16">
      <c r="A92" s="38" t="s">
        <v>89</v>
      </c>
      <c r="B92" s="46"/>
      <c r="C92" s="47">
        <v>47.2</v>
      </c>
      <c r="D92" s="47">
        <v>77.24</v>
      </c>
      <c r="E92" s="47">
        <v>36.33</v>
      </c>
      <c r="F92" s="47">
        <v>66.89</v>
      </c>
      <c r="G92" s="46"/>
      <c r="H92" s="47">
        <f>B92+C92+D92+E92+F92+G92</f>
        <v>227.65999999999997</v>
      </c>
    </row>
    <row r="93" spans="1:8" ht="16">
      <c r="A93" s="41" t="s">
        <v>90</v>
      </c>
      <c r="B93" s="49">
        <f>B91+B92</f>
        <v>0.0</v>
      </c>
      <c r="C93" s="48">
        <f>C91+C92</f>
        <v>47.2</v>
      </c>
      <c r="D93" s="48">
        <f>D91+D92</f>
        <v>77.24</v>
      </c>
      <c r="E93" s="48">
        <f>E91+E92</f>
        <v>36.33</v>
      </c>
      <c r="F93" s="48">
        <f>F91+F92</f>
        <v>66.89</v>
      </c>
      <c r="G93" s="49">
        <f>G91+G92</f>
        <v>0.0</v>
      </c>
      <c r="H93" s="49">
        <f>B93+C93+D93+E93+F93+G93</f>
        <v>227.65999999999997</v>
      </c>
    </row>
    <row r="94" spans="1:8" ht="16">
      <c r="A94" s="42" t="s">
        <v>91</v>
      </c>
      <c r="B94" s="49">
        <f>B89+B90+B93</f>
        <v>0.0</v>
      </c>
      <c r="C94" s="48">
        <f>C89+C90+C93</f>
        <v>47.2</v>
      </c>
      <c r="D94" s="48">
        <f>D89+D90+D93</f>
        <v>152.24</v>
      </c>
      <c r="E94" s="48">
        <f>E89+E90+E93</f>
        <v>36.33</v>
      </c>
      <c r="F94" s="48">
        <f>F89+F90+F93</f>
        <v>66.89</v>
      </c>
      <c r="G94" s="49">
        <f>G89+G90+G93</f>
        <v>0.0</v>
      </c>
      <c r="H94" s="49">
        <f>B94+C94+D94+E94+F94+G94</f>
        <v>302.65999999999997</v>
      </c>
    </row>
    <row r="95" spans="1:8" ht="16">
      <c r="A95" s="42" t="s">
        <v>92</v>
      </c>
      <c r="B95" s="48">
        <f>B88-B94</f>
        <v>0.11</v>
      </c>
      <c r="C95" s="48">
        <f>C88-C94</f>
        <v>-47.14</v>
      </c>
      <c r="D95" s="48">
        <f>D88-D94</f>
        <v>386.5799999999999</v>
      </c>
      <c r="E95" s="48">
        <f>E88-E94</f>
        <v>30.909999999999997</v>
      </c>
      <c r="F95" s="48">
        <f>F88-F94</f>
        <v>-66.89</v>
      </c>
      <c r="G95" s="49">
        <f>G88-G94</f>
        <v>0.0</v>
      </c>
      <c r="H95" s="49">
        <f>B95+C95+D95+E95+F95+G95</f>
        <v>303.56999999999994</v>
      </c>
    </row>
    <row r="96" spans="1:8" ht="16">
      <c r="A96" s="42" t="s">
        <v>93</v>
      </c>
      <c r="B96" s="48">
        <f>B82+B95</f>
        <v>-603.0900000000025</v>
      </c>
      <c r="C96" s="48">
        <f>C82+C95</f>
        <v>-1934.8700000000033</v>
      </c>
      <c r="D96" s="48">
        <f>D82+D95</f>
        <v>1796.729999999994</v>
      </c>
      <c r="E96" s="48">
        <f>E82+E95</f>
        <v>2716.9100000000035</v>
      </c>
      <c r="F96" s="48">
        <f>F82+F95</f>
        <v>-13331.32</v>
      </c>
      <c r="G96" s="48">
        <f>G82+G95</f>
        <v>-420.2500000000001</v>
      </c>
      <c r="H96" s="49">
        <f>B96+C96+D96+E96+F96+G96</f>
        <v>-11775.890000000009</v>
      </c>
    </row>
    <row r="100" spans="1:1" ht="16">
      <c r="A100" s="52" t="s">
        <v>102</v>
      </c>
    </row>
  </sheetData>
  <mergeCells count="4">
    <mergeCell ref="A1:H1"/>
    <mergeCell ref="A2:H2"/>
    <mergeCell ref="A3:H3"/>
    <mergeCell ref="A100:H10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